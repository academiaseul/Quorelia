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Precio actual vs mercado" sheetId="2" state="visible" r:id="rId4"/>
    <sheet name="Tarifa recomendada" sheetId="3" state="visible" r:id="rId5"/>
    <sheet name="Escenario A vs 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<sst xmlns="http://schemas.openxmlformats.org/spreadsheetml/2006/main" count="178" uniqueCount="166">
  <si>
    <t xml:space="preserve">QUORELIA · MODELO DE PRECIOS — CUENTA CATL VÍA CAVEX</t>
  </si>
  <si>
    <t xml:space="preserve">Editar SOLO las celdas amarillas. El azul es un dato de entrada; el negro se calcula solo.</t>
  </si>
  <si>
    <t xml:space="preserve">LEYENDA</t>
  </si>
  <si>
    <t xml:space="preserve">Celda a editar</t>
  </si>
  <si>
    <t xml:space="preserve">Dato de entrada</t>
  </si>
  <si>
    <t xml:space="preserve">Calculado</t>
  </si>
  <si>
    <t xml:space="preserve">De otra hoja</t>
  </si>
  <si>
    <t xml:space="preserve">MACRO — CHILE, AGOSTO 2026</t>
  </si>
  <si>
    <t xml:space="preserve">Tipo de cambio (CLP por USD)</t>
  </si>
  <si>
    <t xml:space="preserve">Rango observado 909–928 en agosto 2026 (Wise)</t>
  </si>
  <si>
    <t xml:space="preserve">Jornada laboral máxima (horas/semana)</t>
  </si>
  <si>
    <t xml:space="preserve">Ley 21.561, vigente desde el 26 de abril de 2026</t>
  </si>
  <si>
    <t xml:space="preserve">Ingreso mínimo mensual (CLP)</t>
  </si>
  <si>
    <t xml:space="preserve">Vigente desde mayo 2026</t>
  </si>
  <si>
    <t xml:space="preserve">IVA</t>
  </si>
  <si>
    <t xml:space="preserve">Los precios de este modelo son netos, sin IVA</t>
  </si>
  <si>
    <t xml:space="preserve">CARTERA — LO QUE HAY QUE CONFIRMAR CON CAVEX</t>
  </si>
  <si>
    <t xml:space="preserve">Número de sitios en el alcance</t>
  </si>
  <si>
    <t xml:space="preserve">SUPUESTO. Cavex no ha confirmado cómo se reparten los ~6 GW</t>
  </si>
  <si>
    <t xml:space="preserve">Potencia media por sitio (MW)</t>
  </si>
  <si>
    <t xml:space="preserve">SUPUESTO. Cambiar cuando Cavex entregue el listado</t>
  </si>
  <si>
    <t xml:space="preserve">Planta actual bajo contrato (MW)</t>
  </si>
  <si>
    <t xml:space="preserve">Contrato vigente Cavex–Quorelia</t>
  </si>
  <si>
    <t xml:space="preserve">PRECIO ACTUAL DEL CONTRATO VIGENTE</t>
  </si>
  <si>
    <t xml:space="preserve">Tarifa mensual actual (CLP, neta)</t>
  </si>
  <si>
    <t xml:space="preserve">Lo que Quorelia factura hoy a Cavex por 1 GW</t>
  </si>
  <si>
    <t xml:space="preserve">COSTOS — ESCENARIO A · SOLO CAPA DE DATOS (puntos 1, 2 parcial y 5)</t>
  </si>
  <si>
    <t xml:space="preserve">Guardia técnica 24/7 — 4 ingenieros en rotación</t>
  </si>
  <si>
    <t xml:space="preserve">Bono de disponibilidad + horas efectivas de intervención</t>
  </si>
  <si>
    <t xml:space="preserve">Analista de operaciones (1 FTE cargado)</t>
  </si>
  <si>
    <t xml:space="preserve">Revisa hallazgos, emite informes, atiende a Cavex</t>
  </si>
  <si>
    <t xml:space="preserve">Jefatura técnica / QA (0,5 FTE)</t>
  </si>
  <si>
    <t xml:space="preserve">Control de calidad de la cifra publicada</t>
  </si>
  <si>
    <t xml:space="preserve">Infraestructura (hosting, ingesta, almacenamiento)</t>
  </si>
  <si>
    <t xml:space="preserve">Redundancia incluida</t>
  </si>
  <si>
    <t xml:space="preserve">Licencias y herramientas (alerting, ticketing)</t>
  </si>
  <si>
    <t xml:space="preserve">Seguro de responsabilidad civil profesional (E&amp;O)</t>
  </si>
  <si>
    <t xml:space="preserve">NUEVO — obligatorio si se asume alcance 24/7</t>
  </si>
  <si>
    <t xml:space="preserve">Overhead administrativo y comercial</t>
  </si>
  <si>
    <t xml:space="preserve">COSTO FIJO MENSUAL — ESCENARIO A</t>
  </si>
  <si>
    <t xml:space="preserve">Costo marginal por sitio adicional</t>
  </si>
  <si>
    <t xml:space="preserve">Ingesta, almacenamiento y tiempo de analista por hallazgo</t>
  </si>
  <si>
    <t xml:space="preserve">COSTOS — ESCENARIO B · CENTRO 24/7 CON DOTACIÓN (los 5 puntos del correo)</t>
  </si>
  <si>
    <t xml:space="preserve">Puestos concurrentes 24/7</t>
  </si>
  <si>
    <t xml:space="preserve">Uno solo no cubre alarmas + llamadas + órdenes a la vez</t>
  </si>
  <si>
    <t xml:space="preserve">Holgura por vacaciones, licencias y capacitación</t>
  </si>
  <si>
    <t xml:space="preserve">15 días hábiles de vacaciones + licencias + formación</t>
  </si>
  <si>
    <t xml:space="preserve">FTE necesarios por puesto 24/7</t>
  </si>
  <si>
    <t xml:space="preserve">168 horas semanales ÷ jornada legal, más la holgura</t>
  </si>
  <si>
    <t xml:space="preserve">Costo cargado por operador de turno (CLP/mes)</t>
  </si>
  <si>
    <t xml:space="preserve">Bruto + turnos rotativos nocturnos + cargas del empleador</t>
  </si>
  <si>
    <t xml:space="preserve">Ingenieros senior / jefes de turno</t>
  </si>
  <si>
    <t xml:space="preserve">Costo cargado por senior (CLP/mes)</t>
  </si>
  <si>
    <t xml:space="preserve">Telefonía y atención multilingüe (ES/PT/EN/ZH)</t>
  </si>
  <si>
    <t xml:space="preserve">Punto 4 del correo: atención de llamadas 24/7</t>
  </si>
  <si>
    <t xml:space="preserve">Infraestructura y licencias del centro</t>
  </si>
  <si>
    <t xml:space="preserve">Seguro RC ampliado (juicio operacional sobre alarmas BMS)</t>
  </si>
  <si>
    <t xml:space="preserve">Punto 2: «preliminary judgments» sobre baterías de litio</t>
  </si>
  <si>
    <t xml:space="preserve">COSTO FIJO MENSUAL — ESCENARIO B</t>
  </si>
  <si>
    <t xml:space="preserve">Costo marginal por sitio adicional (escenario B)</t>
  </si>
  <si>
    <t xml:space="preserve">DÓNDE ESTÁ EL PRECIO ACTUAL</t>
  </si>
  <si>
    <t xml:space="preserve">Normalización del contrato vigente y comparación contra la tabla de referencia del propio Quorelia.</t>
  </si>
  <si>
    <t xml:space="preserve">Métrica</t>
  </si>
  <si>
    <t xml:space="preserve">Valor</t>
  </si>
  <si>
    <t xml:space="preserve">Unidad</t>
  </si>
  <si>
    <t xml:space="preserve">Cómo se calcula</t>
  </si>
  <si>
    <t xml:space="preserve">Tarifa mensual actual</t>
  </si>
  <si>
    <t xml:space="preserve">CLP/mes</t>
  </si>
  <si>
    <t xml:space="preserve">Tarifa mensual actual en dólares</t>
  </si>
  <si>
    <t xml:space="preserve">USD/mes</t>
  </si>
  <si>
    <t xml:space="preserve">÷ tipo de cambio</t>
  </si>
  <si>
    <t xml:space="preserve">Ingreso anual del contrato</t>
  </si>
  <si>
    <t xml:space="preserve">CLP/año</t>
  </si>
  <si>
    <t xml:space="preserve">× 12</t>
  </si>
  <si>
    <t xml:space="preserve">Ingreso anual en dólares</t>
  </si>
  <si>
    <t xml:space="preserve">USD/año</t>
  </si>
  <si>
    <t xml:space="preserve">Precio por MW</t>
  </si>
  <si>
    <t xml:space="preserve">CLP/MW/mes</t>
  </si>
  <si>
    <t xml:space="preserve">÷ 1.000 MW contratados</t>
  </si>
  <si>
    <t xml:space="preserve">Precio por MW al año</t>
  </si>
  <si>
    <t xml:space="preserve">USD/MW/año</t>
  </si>
  <si>
    <t xml:space="preserve">Como fracción de UN sueldo mínimo</t>
  </si>
  <si>
    <t xml:space="preserve">× IMM</t>
  </si>
  <si>
    <t xml:space="preserve">El ingreso mensual completo de esta cuenta</t>
  </si>
  <si>
    <t xml:space="preserve">CONTRA LA TABLA DE REFERENCIA QUE YA TENÍAS</t>
  </si>
  <si>
    <t xml:space="preserve">Proveedor</t>
  </si>
  <si>
    <t xml:space="preserve">Piso indicativo (USD/año)</t>
  </si>
  <si>
    <t xml:space="preserve">Quorelia hoy</t>
  </si>
  <si>
    <t xml:space="preserve">Cuántas veces más caro es el piso</t>
  </si>
  <si>
    <t xml:space="preserve">Quorelia · objetivo propio</t>
  </si>
  <si>
    <t xml:space="preserve">AVEVA PI System</t>
  </si>
  <si>
    <t xml:space="preserve">AlsoEnergy</t>
  </si>
  <si>
    <t xml:space="preserve">Power Factors / Unity</t>
  </si>
  <si>
    <t xml:space="preserve">ABB</t>
  </si>
  <si>
    <t xml:space="preserve">Siemens · Hitachi · GE Vernova</t>
  </si>
  <si>
    <t xml:space="preserve">LO QUE ESTABAS PENSANDO COBRAR</t>
  </si>
  <si>
    <t xml:space="preserve">Tarifa propuesta (CLP/sitio/mes)</t>
  </si>
  <si>
    <t xml:space="preserve">USD/sitio/año</t>
  </si>
  <si>
    <t xml:space="preserve">% de tu propio piso de US$20.000</t>
  </si>
  <si>
    <t xml:space="preserve">Incluso el techo de tu rango (1.000.000 CLP/sitio/mes) queda por debajo del piso de tu propia tabla de referencia.</t>
  </si>
  <si>
    <t xml:space="preserve">TARIFA RECOMENDADA — TRES BLOQUES</t>
  </si>
  <si>
    <t xml:space="preserve">Separar la plataforma (escala) del servicio 24/7 (no escala). Amarillo = editable.</t>
  </si>
  <si>
    <t xml:space="preserve">BLOQUE 1 · Plataforma, verificación y reportería — recurrente por sitio</t>
  </si>
  <si>
    <t xml:space="preserve">Banda de potencia</t>
  </si>
  <si>
    <t xml:space="preserve">CLP/sitio/mes</t>
  </si>
  <si>
    <t xml:space="preserve">USD/sitio/mes</t>
  </si>
  <si>
    <t xml:space="preserve">Hasta 200 MW</t>
  </si>
  <si>
    <t xml:space="preserve">200 – 500 MW</t>
  </si>
  <si>
    <t xml:space="preserve">Más de 500 MW</t>
  </si>
  <si>
    <t xml:space="preserve">BLOQUE 2 · Servicio de monitoreo y guardia 24/7 — cargo fijo de cuenta</t>
  </si>
  <si>
    <t xml:space="preserve">Cargo fijo mensual (hasta 20 sitios)</t>
  </si>
  <si>
    <t xml:space="preserve">Incremento por sitio a partir del 21º</t>
  </si>
  <si>
    <t xml:space="preserve">BLOQUE 3 · Implementación — pago único por sitio</t>
  </si>
  <si>
    <t xml:space="preserve">Tipo de integración</t>
  </si>
  <si>
    <t xml:space="preserve">CLP (una vez)</t>
  </si>
  <si>
    <t xml:space="preserve">USD</t>
  </si>
  <si>
    <t xml:space="preserve">Estándar — SCADA/EMS conocido</t>
  </si>
  <si>
    <t xml:space="preserve">Compleja — BMS propietario o multi-vendor</t>
  </si>
  <si>
    <t xml:space="preserve">CÓMO QUEDA SEGÚN EL TAMAÑO DE LA CARTERA — escenario A (solo capa de datos)</t>
  </si>
  <si>
    <t xml:space="preserve">Sitios en cartera</t>
  </si>
  <si>
    <t xml:space="preserve">Recurrente CLP/mes</t>
  </si>
  <si>
    <t xml:space="preserve">Costo CLP/mes</t>
  </si>
  <si>
    <t xml:space="preserve">Resultado CLP/mes</t>
  </si>
  <si>
    <t xml:space="preserve">Margen bruto</t>
  </si>
  <si>
    <t xml:space="preserve">QUÉ PASA SI ACEPTAS LOS CINCO PUNTOS DEL CORREO</t>
  </si>
  <si>
    <t xml:space="preserve">Escenario A = capa de datos (1, 2 parcial, 5). Escenario B = centro 24/7 con dotación (los 5).</t>
  </si>
  <si>
    <t xml:space="preserve">Punto del correo de CATL</t>
  </si>
  <si>
    <t xml:space="preserve">Naturaleza</t>
  </si>
  <si>
    <t xml:space="preserve">¿Quorelia o Cavex?</t>
  </si>
  <si>
    <t xml:space="preserve">Por qué</t>
  </si>
  <si>
    <t xml:space="preserve">1 · Monitoreo en tiempo real 24/7 de BMS, PCS y EMS</t>
  </si>
  <si>
    <t xml:space="preserve">Software</t>
  </si>
  <si>
    <t xml:space="preserve">QUORELIA</t>
  </si>
  <si>
    <t xml:space="preserve">Es exactamente el producto. Costo marginal casi nulo.</t>
  </si>
  <si>
    <t xml:space="preserve">2 · Manejo de alarmas: detectar, clasificar, notificar, registrar</t>
  </si>
  <si>
    <t xml:space="preserve">La detección y el registro trazable son el diferenciador.</t>
  </si>
  <si>
    <t xml:space="preserve">2b · «Preliminary judgments» sobre la alarma</t>
  </si>
  <si>
    <t xml:space="preserve">Decisión operacional</t>
  </si>
  <si>
    <t xml:space="preserve">CAVEX</t>
  </si>
  <si>
    <t xml:space="preserve">Juicio sobre baterías de litio. Contradice tus Términos §03.</t>
  </si>
  <si>
    <t xml:space="preserve">3 · Órdenes de trabajo: distribuir y gestionar 24/7</t>
  </si>
  <si>
    <t xml:space="preserve">Coordinación de terreno</t>
  </si>
  <si>
    <t xml:space="preserve">Trabajo humano de campo. Quorelia puede generar el hallazgo, no despachar cuadrillas.</t>
  </si>
  <si>
    <t xml:space="preserve">4 · Atención de llamadas 24/7 a cliente y personal en sitio</t>
  </si>
  <si>
    <t xml:space="preserve">Call center</t>
  </si>
  <si>
    <t xml:space="preserve">Es un call center multilingüe. Margen bajo, nada que ver con tu producto.</t>
  </si>
  <si>
    <t xml:space="preserve">5 · Registro de datos e informe diario de operación</t>
  </si>
  <si>
    <t xml:space="preserve">Ya lo entregas hoy. Es el corazón del servicio.</t>
  </si>
  <si>
    <t xml:space="preserve">Comparación</t>
  </si>
  <si>
    <t xml:space="preserve">Escenario A · capa de datos</t>
  </si>
  <si>
    <t xml:space="preserve">Escenario B · centro dotado</t>
  </si>
  <si>
    <t xml:space="preserve">Diferencia</t>
  </si>
  <si>
    <t xml:space="preserve">Costo fijo mensual (CLP)</t>
  </si>
  <si>
    <t xml:space="preserve">Costo fijo anual (CLP)</t>
  </si>
  <si>
    <t xml:space="preserve">Costo fijo anual (USD)</t>
  </si>
  <si>
    <t xml:space="preserve">Personas en nómina dedicadas</t>
  </si>
  <si>
    <t xml:space="preserve">Sitios para equilibrio a 1.000.000 CLP/sitio/mes</t>
  </si>
  <si>
    <t xml:space="preserve">Sitios para equilibrio a 500.000 CLP/sitio/mes</t>
  </si>
  <si>
    <t xml:space="preserve">El escenario B no es una ampliación del servicio: es otro negocio, con costo laboral que no escala y margen de BPO.</t>
  </si>
  <si>
    <t xml:space="preserve">QUÉ PASA CON LO QUE IBAS A COTIZAR — cartera de 12 sitios</t>
  </si>
  <si>
    <t xml:space="preserve">Opción de precio</t>
  </si>
  <si>
    <t xml:space="preserve">Ingreso CLP/mes</t>
  </si>
  <si>
    <t xml:space="preserve">Margen</t>
  </si>
  <si>
    <t xml:space="preserve">Tu rango bajo — 500.000 CLP/sitio</t>
  </si>
  <si>
    <t xml:space="preserve">Tu rango alto — 1.000.000 CLP/sitio</t>
  </si>
  <si>
    <t xml:space="preserve">Tarifa recomendada (bloques 1+2)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</si>
</sst>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#,##0;\(#,##0\);\-"/>
    <numFmt numFmtId="168" formatCode="#,##0.0"/>
    <numFmt numFmtId="169" formatCode="&quot;US$&quot;#,##0;&quot;(US$&quot;#,##0\);\-"/>
    <numFmt numFmtId="170" formatCode="&quot;US$&quot;#,##0.00"/>
    <numFmt numFmtId="171" formatCode="0.00\×"/>
    <numFmt numFmtId="172" formatCode="0.0\×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0000FF"/>
      <name val="Arial"/>
      <family val="0"/>
      <charset val="1"/>
    </font>
    <font>
      <sz val="8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77777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B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sz val="8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F2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EF1F3"/>
        <bgColor rgb="FFD6F0EC"/>
      </patternFill>
    </fill>
    <fill>
      <patternFill patternType="solid">
        <fgColor rgb="FFD6F0EC"/>
        <bgColor rgb="FFEEF1F3"/>
      </patternFill>
    </fill>
    <fill>
      <patternFill patternType="solid">
        <fgColor rgb="FFFBE0E0"/>
        <bgColor rgb="FFEEF1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EEF1F3"/>
      <rgbColor rgb="FFD6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F2A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7"/>
    <col collapsed="false" customWidth="true" hidden="false" outlineLevel="0" max="6" min="6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</row>
    <row r="6" customFormat="false" ht="19.5" hidden="false" customHeight="true" outlineLevel="0" collapsed="false">
      <c r="A6" s="8" t="s">
        <v>7</v>
      </c>
      <c r="B6" s="8"/>
      <c r="C6" s="8"/>
      <c r="D6" s="8"/>
      <c r="E6" s="8"/>
    </row>
    <row r="7" customFormat="false" ht="15" hidden="false" customHeight="false" outlineLevel="0" collapsed="false">
      <c r="A7" s="9" t="s">
        <v>8</v>
      </c>
      <c r="B7" s="10" t="n">
        <v>915</v>
      </c>
      <c r="F7" s="11" t="s">
        <v>9</v>
      </c>
    </row>
    <row r="8" customFormat="false" ht="15" hidden="false" customHeight="false" outlineLevel="0" collapsed="false">
      <c r="A8" s="9" t="s">
        <v>10</v>
      </c>
      <c r="B8" s="10" t="n">
        <v>42</v>
      </c>
      <c r="F8" s="11" t="s">
        <v>11</v>
      </c>
    </row>
    <row r="9" customFormat="false" ht="15" hidden="false" customHeight="false" outlineLevel="0" collapsed="false">
      <c r="A9" s="9" t="s">
        <v>12</v>
      </c>
      <c r="B9" s="10" t="n">
        <v>553553</v>
      </c>
      <c r="F9" s="11" t="s">
        <v>13</v>
      </c>
    </row>
    <row r="10" customFormat="false" ht="15" hidden="false" customHeight="false" outlineLevel="0" collapsed="false">
      <c r="A10" s="9" t="s">
        <v>14</v>
      </c>
      <c r="B10" s="12" t="n">
        <v>0.19</v>
      </c>
      <c r="F10" s="11" t="s">
        <v>15</v>
      </c>
    </row>
    <row r="12" customFormat="false" ht="19.5" hidden="false" customHeight="true" outlineLevel="0" collapsed="false">
      <c r="A12" s="8" t="s">
        <v>16</v>
      </c>
      <c r="B12" s="8"/>
      <c r="C12" s="8"/>
      <c r="D12" s="8"/>
      <c r="E12" s="8"/>
    </row>
    <row r="13" customFormat="false" ht="15" hidden="false" customHeight="false" outlineLevel="0" collapsed="false">
      <c r="A13" s="9" t="s">
        <v>17</v>
      </c>
      <c r="B13" s="10" t="n">
        <v>12</v>
      </c>
      <c r="F13" s="11" t="s">
        <v>18</v>
      </c>
    </row>
    <row r="14" customFormat="false" ht="15" hidden="false" customHeight="false" outlineLevel="0" collapsed="false">
      <c r="A14" s="9" t="s">
        <v>19</v>
      </c>
      <c r="B14" s="10" t="n">
        <v>250</v>
      </c>
      <c r="F14" s="11" t="s">
        <v>20</v>
      </c>
    </row>
    <row r="15" customFormat="false" ht="15" hidden="false" customHeight="false" outlineLevel="0" collapsed="false">
      <c r="A15" s="9" t="s">
        <v>21</v>
      </c>
      <c r="B15" s="10" t="n">
        <v>1000</v>
      </c>
      <c r="F15" s="11" t="s">
        <v>22</v>
      </c>
    </row>
    <row r="17" customFormat="false" ht="19.5" hidden="false" customHeight="true" outlineLevel="0" collapsed="false">
      <c r="A17" s="8" t="s">
        <v>23</v>
      </c>
      <c r="B17" s="8"/>
      <c r="C17" s="8"/>
      <c r="D17" s="8"/>
      <c r="E17" s="8"/>
    </row>
    <row r="18" customFormat="false" ht="15" hidden="false" customHeight="false" outlineLevel="0" collapsed="false">
      <c r="A18" s="9" t="s">
        <v>24</v>
      </c>
      <c r="B18" s="10" t="n">
        <v>300000</v>
      </c>
      <c r="F18" s="11" t="s">
        <v>25</v>
      </c>
    </row>
    <row r="20" customFormat="false" ht="19.5" hidden="false" customHeight="true" outlineLevel="0" collapsed="false">
      <c r="A20" s="8" t="s">
        <v>26</v>
      </c>
      <c r="B20" s="8"/>
      <c r="C20" s="8"/>
      <c r="D20" s="8"/>
      <c r="E20" s="8"/>
    </row>
    <row r="21" customFormat="false" ht="15" hidden="false" customHeight="false" outlineLevel="0" collapsed="false">
      <c r="A21" s="9" t="s">
        <v>27</v>
      </c>
      <c r="B21" s="10" t="n">
        <v>3400000</v>
      </c>
      <c r="F21" s="11" t="s">
        <v>28</v>
      </c>
    </row>
    <row r="22" customFormat="false" ht="15" hidden="false" customHeight="false" outlineLevel="0" collapsed="false">
      <c r="A22" s="9" t="s">
        <v>29</v>
      </c>
      <c r="B22" s="10" t="n">
        <v>2200000</v>
      </c>
      <c r="F22" s="11" t="s">
        <v>30</v>
      </c>
    </row>
    <row r="23" customFormat="false" ht="15" hidden="false" customHeight="false" outlineLevel="0" collapsed="false">
      <c r="A23" s="9" t="s">
        <v>31</v>
      </c>
      <c r="B23" s="10" t="n">
        <v>1500000</v>
      </c>
      <c r="F23" s="11" t="s">
        <v>32</v>
      </c>
    </row>
    <row r="24" customFormat="false" ht="15" hidden="false" customHeight="false" outlineLevel="0" collapsed="false">
      <c r="A24" s="9" t="s">
        <v>33</v>
      </c>
      <c r="B24" s="10" t="n">
        <v>1200000</v>
      </c>
      <c r="F24" s="11" t="s">
        <v>34</v>
      </c>
    </row>
    <row r="25" customFormat="false" ht="15" hidden="false" customHeight="false" outlineLevel="0" collapsed="false">
      <c r="A25" s="9" t="s">
        <v>35</v>
      </c>
      <c r="B25" s="10" t="n">
        <v>600000</v>
      </c>
      <c r="F25" s="11"/>
    </row>
    <row r="26" customFormat="false" ht="15" hidden="false" customHeight="false" outlineLevel="0" collapsed="false">
      <c r="A26" s="9" t="s">
        <v>36</v>
      </c>
      <c r="B26" s="10" t="n">
        <v>800000</v>
      </c>
      <c r="F26" s="11" t="s">
        <v>37</v>
      </c>
    </row>
    <row r="27" customFormat="false" ht="15" hidden="false" customHeight="false" outlineLevel="0" collapsed="false">
      <c r="A27" s="9" t="s">
        <v>38</v>
      </c>
      <c r="B27" s="12" t="n">
        <v>0.2</v>
      </c>
    </row>
    <row r="28" customFormat="false" ht="15" hidden="false" customHeight="false" outlineLevel="0" collapsed="false">
      <c r="A28" s="13" t="s">
        <v>39</v>
      </c>
      <c r="B28" s="14" t="n">
        <f aca="false">SUM(B21:B26)*(1+B27)</f>
        <v>11640000</v>
      </c>
    </row>
    <row r="29" customFormat="false" ht="15" hidden="false" customHeight="false" outlineLevel="0" collapsed="false">
      <c r="A29" s="9" t="s">
        <v>40</v>
      </c>
      <c r="B29" s="10" t="n">
        <v>200000</v>
      </c>
      <c r="F29" s="11" t="s">
        <v>41</v>
      </c>
    </row>
    <row r="31" customFormat="false" ht="19.5" hidden="false" customHeight="true" outlineLevel="0" collapsed="false">
      <c r="A31" s="8" t="s">
        <v>42</v>
      </c>
      <c r="B31" s="8"/>
      <c r="C31" s="8"/>
      <c r="D31" s="8"/>
      <c r="E31" s="8"/>
    </row>
    <row r="32" customFormat="false" ht="15" hidden="false" customHeight="false" outlineLevel="0" collapsed="false">
      <c r="A32" s="9" t="s">
        <v>43</v>
      </c>
      <c r="B32" s="10" t="n">
        <v>2</v>
      </c>
      <c r="F32" s="11" t="s">
        <v>44</v>
      </c>
    </row>
    <row r="33" customFormat="false" ht="15" hidden="false" customHeight="false" outlineLevel="0" collapsed="false">
      <c r="A33" s="9" t="s">
        <v>45</v>
      </c>
      <c r="B33" s="12" t="n">
        <v>0.15</v>
      </c>
      <c r="F33" s="11" t="s">
        <v>46</v>
      </c>
    </row>
    <row r="34" customFormat="false" ht="15" hidden="false" customHeight="false" outlineLevel="0" collapsed="false">
      <c r="A34" s="9" t="s">
        <v>47</v>
      </c>
      <c r="B34" s="15" t="n">
        <f aca="false">168/B8*(1+B33)</f>
        <v>4.6</v>
      </c>
      <c r="F34" s="11" t="s">
        <v>48</v>
      </c>
    </row>
    <row r="35" customFormat="false" ht="15" hidden="false" customHeight="false" outlineLevel="0" collapsed="false">
      <c r="A35" s="9" t="s">
        <v>49</v>
      </c>
      <c r="B35" s="10" t="n">
        <v>1600000</v>
      </c>
      <c r="F35" s="11" t="s">
        <v>50</v>
      </c>
    </row>
    <row r="36" customFormat="false" ht="15" hidden="false" customHeight="false" outlineLevel="0" collapsed="false">
      <c r="A36" s="9" t="s">
        <v>51</v>
      </c>
      <c r="B36" s="10" t="n">
        <v>3</v>
      </c>
      <c r="F36" s="11"/>
    </row>
    <row r="37" customFormat="false" ht="15" hidden="false" customHeight="false" outlineLevel="0" collapsed="false">
      <c r="A37" s="9" t="s">
        <v>52</v>
      </c>
      <c r="B37" s="10" t="n">
        <v>2600000</v>
      </c>
      <c r="F37" s="11"/>
    </row>
    <row r="38" customFormat="false" ht="15" hidden="false" customHeight="false" outlineLevel="0" collapsed="false">
      <c r="A38" s="9" t="s">
        <v>53</v>
      </c>
      <c r="B38" s="10" t="n">
        <v>1500000</v>
      </c>
      <c r="F38" s="11" t="s">
        <v>54</v>
      </c>
    </row>
    <row r="39" customFormat="false" ht="15" hidden="false" customHeight="false" outlineLevel="0" collapsed="false">
      <c r="A39" s="9" t="s">
        <v>55</v>
      </c>
      <c r="B39" s="10" t="n">
        <v>2100000</v>
      </c>
      <c r="F39" s="11"/>
    </row>
    <row r="40" customFormat="false" ht="15" hidden="false" customHeight="false" outlineLevel="0" collapsed="false">
      <c r="A40" s="9" t="s">
        <v>56</v>
      </c>
      <c r="B40" s="10" t="n">
        <v>1800000</v>
      </c>
      <c r="F40" s="11" t="s">
        <v>57</v>
      </c>
    </row>
    <row r="41" customFormat="false" ht="15" hidden="false" customHeight="false" outlineLevel="0" collapsed="false">
      <c r="A41" s="13" t="s">
        <v>58</v>
      </c>
      <c r="B41" s="16" t="n">
        <f aca="false">(ROUND(B32*B34,0)*B35+B36*B37+B38+B39+B40)*(1+B27)</f>
        <v>33120000</v>
      </c>
    </row>
    <row r="42" customFormat="false" ht="15" hidden="false" customHeight="false" outlineLevel="0" collapsed="false">
      <c r="A42" s="9" t="s">
        <v>59</v>
      </c>
      <c r="B42" s="10" t="n">
        <v>300000</v>
      </c>
      <c r="F42" s="11"/>
    </row>
  </sheetData>
  <mergeCells count="7">
    <mergeCell ref="A1:G1"/>
    <mergeCell ref="A2:G2"/>
    <mergeCell ref="A6:E6"/>
    <mergeCell ref="A12:E12"/>
    <mergeCell ref="A17:E17"/>
    <mergeCell ref="A20:E20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52"/>
    <col collapsed="false" customWidth="true" hidden="false" outlineLevel="0" max="6" min="5" style="0" width="3"/>
  </cols>
  <sheetData>
    <row r="1" customFormat="false" ht="30" hidden="false" customHeight="true" outlineLevel="0" collapsed="false">
      <c r="A1" s="1" t="s">
        <v>60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61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7" t="s">
        <v>62</v>
      </c>
      <c r="B4" s="17" t="s">
        <v>63</v>
      </c>
      <c r="C4" s="17" t="s">
        <v>64</v>
      </c>
      <c r="D4" s="17" t="s">
        <v>65</v>
      </c>
      <c r="E4" s="17"/>
      <c r="F4" s="17"/>
    </row>
    <row r="5" customFormat="false" ht="15" hidden="false" customHeight="false" outlineLevel="0" collapsed="false">
      <c r="A5" s="9" t="s">
        <v>66</v>
      </c>
      <c r="B5" s="18" t="n">
        <f aca="false">Supuestos!B18</f>
        <v>300000</v>
      </c>
      <c r="C5" s="19" t="s">
        <v>67</v>
      </c>
      <c r="D5" s="11" t="s">
        <v>22</v>
      </c>
    </row>
    <row r="6" customFormat="false" ht="15" hidden="false" customHeight="false" outlineLevel="0" collapsed="false">
      <c r="A6" s="9" t="s">
        <v>68</v>
      </c>
      <c r="B6" s="20" t="n">
        <f aca="false">Supuestos!B18/Supuestos!B7</f>
        <v>327.868852459016</v>
      </c>
      <c r="C6" s="19" t="s">
        <v>69</v>
      </c>
      <c r="D6" s="11" t="s">
        <v>70</v>
      </c>
    </row>
    <row r="7" customFormat="false" ht="15" hidden="false" customHeight="false" outlineLevel="0" collapsed="false">
      <c r="A7" s="9" t="s">
        <v>71</v>
      </c>
      <c r="B7" s="18" t="n">
        <f aca="false">Supuestos!B18*12</f>
        <v>3600000</v>
      </c>
      <c r="C7" s="19" t="s">
        <v>72</v>
      </c>
      <c r="D7" s="11" t="s">
        <v>73</v>
      </c>
    </row>
    <row r="8" customFormat="false" ht="15" hidden="false" customHeight="false" outlineLevel="0" collapsed="false">
      <c r="A8" s="9" t="s">
        <v>74</v>
      </c>
      <c r="B8" s="20" t="n">
        <f aca="false">Supuestos!B18*12/Supuestos!B7</f>
        <v>3934.4262295082</v>
      </c>
      <c r="C8" s="19" t="s">
        <v>75</v>
      </c>
      <c r="D8" s="11"/>
    </row>
    <row r="9" customFormat="false" ht="15" hidden="false" customHeight="false" outlineLevel="0" collapsed="false">
      <c r="A9" s="9" t="s">
        <v>76</v>
      </c>
      <c r="B9" s="21" t="n">
        <f aca="false">Supuestos!B18/Supuestos!B15</f>
        <v>300</v>
      </c>
      <c r="C9" s="19" t="s">
        <v>77</v>
      </c>
      <c r="D9" s="11" t="s">
        <v>78</v>
      </c>
    </row>
    <row r="10" customFormat="false" ht="15" hidden="false" customHeight="false" outlineLevel="0" collapsed="false">
      <c r="A10" s="9" t="s">
        <v>79</v>
      </c>
      <c r="B10" s="22" t="n">
        <f aca="false">Supuestos!B18*12/Supuestos!B15/Supuestos!B7</f>
        <v>3.9344262295082</v>
      </c>
      <c r="C10" s="19" t="s">
        <v>80</v>
      </c>
      <c r="D10" s="11"/>
    </row>
    <row r="11" customFormat="false" ht="15" hidden="false" customHeight="false" outlineLevel="0" collapsed="false">
      <c r="A11" s="9" t="s">
        <v>81</v>
      </c>
      <c r="B11" s="23" t="n">
        <f aca="false">Supuestos!B18/Supuestos!B9</f>
        <v>0.541953525678661</v>
      </c>
      <c r="C11" s="19" t="s">
        <v>82</v>
      </c>
      <c r="D11" s="11" t="s">
        <v>83</v>
      </c>
    </row>
    <row r="13" customFormat="false" ht="15" hidden="false" customHeight="false" outlineLevel="0" collapsed="false">
      <c r="A13" s="13" t="s">
        <v>84</v>
      </c>
    </row>
    <row r="14" customFormat="false" ht="30" hidden="false" customHeight="true" outlineLevel="0" collapsed="false">
      <c r="A14" s="17" t="s">
        <v>85</v>
      </c>
      <c r="B14" s="17" t="s">
        <v>86</v>
      </c>
      <c r="C14" s="17" t="s">
        <v>87</v>
      </c>
      <c r="D14" s="17" t="s">
        <v>88</v>
      </c>
      <c r="E14" s="17"/>
      <c r="F14" s="17"/>
    </row>
    <row r="15" customFormat="false" ht="15" hidden="false" customHeight="false" outlineLevel="0" collapsed="false">
      <c r="A15" s="13" t="s">
        <v>89</v>
      </c>
      <c r="B15" s="24" t="n">
        <v>20000</v>
      </c>
      <c r="C15" s="25" t="n">
        <f aca="false">Supuestos!B18*12/Supuestos!B7/B15</f>
        <v>0.19672131147541</v>
      </c>
      <c r="D15" s="26" t="n">
        <f aca="false">B15/(Supuestos!B18*12/Supuestos!B7)</f>
        <v>5.08333333333333</v>
      </c>
    </row>
    <row r="16" customFormat="false" ht="15" hidden="false" customHeight="false" outlineLevel="0" collapsed="false">
      <c r="A16" s="9" t="s">
        <v>90</v>
      </c>
      <c r="B16" s="24" t="n">
        <v>25000</v>
      </c>
      <c r="C16" s="25" t="n">
        <f aca="false">Supuestos!B18*12/Supuestos!B7/B16</f>
        <v>0.157377049180328</v>
      </c>
      <c r="D16" s="26" t="n">
        <f aca="false">B16/(Supuestos!B18*12/Supuestos!B7)</f>
        <v>6.35416666666667</v>
      </c>
    </row>
    <row r="17" customFormat="false" ht="15" hidden="false" customHeight="false" outlineLevel="0" collapsed="false">
      <c r="A17" s="9" t="s">
        <v>91</v>
      </c>
      <c r="B17" s="24" t="n">
        <v>30000</v>
      </c>
      <c r="C17" s="25" t="n">
        <f aca="false">Supuestos!B18*12/Supuestos!B7/B17</f>
        <v>0.131147540983607</v>
      </c>
      <c r="D17" s="26" t="n">
        <f aca="false">B17/(Supuestos!B18*12/Supuestos!B7)</f>
        <v>7.625</v>
      </c>
    </row>
    <row r="18" customFormat="false" ht="15" hidden="false" customHeight="false" outlineLevel="0" collapsed="false">
      <c r="A18" s="9" t="s">
        <v>92</v>
      </c>
      <c r="B18" s="24" t="n">
        <v>50000</v>
      </c>
      <c r="C18" s="25" t="n">
        <f aca="false">Supuestos!B18*12/Supuestos!B7/B18</f>
        <v>0.0786885245901639</v>
      </c>
      <c r="D18" s="26" t="n">
        <f aca="false">B18/(Supuestos!B18*12/Supuestos!B7)</f>
        <v>12.7083333333333</v>
      </c>
    </row>
    <row r="19" customFormat="false" ht="15" hidden="false" customHeight="false" outlineLevel="0" collapsed="false">
      <c r="A19" s="9" t="s">
        <v>93</v>
      </c>
      <c r="B19" s="24" t="n">
        <v>75000</v>
      </c>
      <c r="C19" s="25" t="n">
        <f aca="false">Supuestos!B18*12/Supuestos!B7/B19</f>
        <v>0.0524590163934426</v>
      </c>
      <c r="D19" s="26" t="n">
        <f aca="false">B19/(Supuestos!B18*12/Supuestos!B7)</f>
        <v>19.0625</v>
      </c>
    </row>
    <row r="20" customFormat="false" ht="15" hidden="false" customHeight="false" outlineLevel="0" collapsed="false">
      <c r="A20" s="9" t="s">
        <v>94</v>
      </c>
      <c r="B20" s="24" t="n">
        <v>100000</v>
      </c>
      <c r="C20" s="25" t="n">
        <f aca="false">Supuestos!B18*12/Supuestos!B7/B20</f>
        <v>0.039344262295082</v>
      </c>
      <c r="D20" s="26" t="n">
        <f aca="false">B20/(Supuestos!B18*12/Supuestos!B7)</f>
        <v>25.4166666666667</v>
      </c>
    </row>
    <row r="22" customFormat="false" ht="15" hidden="false" customHeight="false" outlineLevel="0" collapsed="false">
      <c r="A22" s="13" t="s">
        <v>95</v>
      </c>
    </row>
    <row r="23" customFormat="false" ht="30" hidden="false" customHeight="true" outlineLevel="0" collapsed="false">
      <c r="A23" s="17" t="s">
        <v>96</v>
      </c>
      <c r="B23" s="17" t="s">
        <v>97</v>
      </c>
      <c r="C23" s="17" t="s">
        <v>98</v>
      </c>
      <c r="D23" s="17"/>
      <c r="E23" s="17"/>
      <c r="F23" s="17"/>
    </row>
    <row r="24" customFormat="false" ht="15" hidden="false" customHeight="false" outlineLevel="0" collapsed="false">
      <c r="A24" s="27" t="n">
        <v>500000</v>
      </c>
      <c r="B24" s="20" t="n">
        <f aca="false">A24*12/Supuestos!B7</f>
        <v>6557.37704918033</v>
      </c>
      <c r="C24" s="28" t="n">
        <f aca="false">B24/B15</f>
        <v>0.327868852459016</v>
      </c>
    </row>
    <row r="25" customFormat="false" ht="15" hidden="false" customHeight="false" outlineLevel="0" collapsed="false">
      <c r="A25" s="27" t="n">
        <v>1000000</v>
      </c>
      <c r="B25" s="20" t="n">
        <f aca="false">A25*12/Supuestos!B7</f>
        <v>13114.7540983607</v>
      </c>
      <c r="C25" s="28" t="n">
        <f aca="false">B25/B15</f>
        <v>0.655737704918033</v>
      </c>
    </row>
    <row r="27" customFormat="false" ht="15" hidden="false" customHeight="false" outlineLevel="0" collapsed="false">
      <c r="A27" s="29" t="s">
        <v>99</v>
      </c>
      <c r="B27" s="29"/>
      <c r="C27" s="29"/>
      <c r="D27" s="29"/>
    </row>
  </sheetData>
  <mergeCells count="3">
    <mergeCell ref="A1:F1"/>
    <mergeCell ref="A2:F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5" min="4" style="0" width="17"/>
    <col collapsed="false" customWidth="true" hidden="false" outlineLevel="0" max="7" min="6" style="0" width="15"/>
  </cols>
  <sheetData>
    <row r="1" customFormat="false" ht="30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101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8" t="s">
        <v>102</v>
      </c>
      <c r="B4" s="8"/>
      <c r="C4" s="8"/>
      <c r="D4" s="8"/>
      <c r="E4" s="8"/>
      <c r="F4" s="8"/>
      <c r="G4" s="8"/>
    </row>
    <row r="5" customFormat="false" ht="30" hidden="false" customHeight="true" outlineLevel="0" collapsed="false">
      <c r="A5" s="17" t="s">
        <v>103</v>
      </c>
      <c r="B5" s="17" t="s">
        <v>104</v>
      </c>
      <c r="C5" s="17" t="s">
        <v>105</v>
      </c>
      <c r="D5" s="17" t="s">
        <v>97</v>
      </c>
      <c r="E5" s="17"/>
      <c r="F5" s="17"/>
      <c r="G5" s="17"/>
    </row>
    <row r="6" customFormat="false" ht="15" hidden="false" customHeight="false" outlineLevel="0" collapsed="false">
      <c r="A6" s="9" t="s">
        <v>106</v>
      </c>
      <c r="B6" s="30" t="n">
        <v>950000</v>
      </c>
      <c r="C6" s="31" t="n">
        <f aca="false">B6/Supuestos!B7</f>
        <v>1038.25136612022</v>
      </c>
      <c r="D6" s="20" t="n">
        <f aca="false">B6*12/Supuestos!B7</f>
        <v>12459.0163934426</v>
      </c>
    </row>
    <row r="7" customFormat="false" ht="15" hidden="false" customHeight="false" outlineLevel="0" collapsed="false">
      <c r="A7" s="9" t="s">
        <v>107</v>
      </c>
      <c r="B7" s="30" t="n">
        <v>1450000</v>
      </c>
      <c r="C7" s="31" t="n">
        <f aca="false">B7/Supuestos!B7</f>
        <v>1584.69945355191</v>
      </c>
      <c r="D7" s="20" t="n">
        <f aca="false">B7*12/Supuestos!B7</f>
        <v>19016.393442623</v>
      </c>
    </row>
    <row r="8" customFormat="false" ht="15" hidden="false" customHeight="false" outlineLevel="0" collapsed="false">
      <c r="A8" s="9" t="s">
        <v>108</v>
      </c>
      <c r="B8" s="30" t="n">
        <v>1950000</v>
      </c>
      <c r="C8" s="31" t="n">
        <f aca="false">B8/Supuestos!B7</f>
        <v>2131.14754098361</v>
      </c>
      <c r="D8" s="20" t="n">
        <f aca="false">B8*12/Supuestos!B7</f>
        <v>25573.7704918033</v>
      </c>
    </row>
    <row r="10" customFormat="false" ht="15" hidden="false" customHeight="false" outlineLevel="0" collapsed="false">
      <c r="A10" s="8" t="s">
        <v>109</v>
      </c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9" t="s">
        <v>110</v>
      </c>
      <c r="B11" s="30" t="n">
        <v>14500000</v>
      </c>
      <c r="C11" s="31" t="n">
        <f aca="false">B11/Supuestos!B7</f>
        <v>15846.9945355191</v>
      </c>
    </row>
    <row r="12" customFormat="false" ht="15" hidden="false" customHeight="false" outlineLevel="0" collapsed="false">
      <c r="A12" s="9" t="s">
        <v>111</v>
      </c>
      <c r="B12" s="30" t="n">
        <v>350000</v>
      </c>
    </row>
    <row r="14" customFormat="false" ht="15" hidden="false" customHeight="false" outlineLevel="0" collapsed="false">
      <c r="A14" s="8" t="s">
        <v>112</v>
      </c>
      <c r="B14" s="8"/>
      <c r="C14" s="8"/>
      <c r="D14" s="8"/>
      <c r="E14" s="8"/>
      <c r="F14" s="8"/>
      <c r="G14" s="8"/>
    </row>
    <row r="15" customFormat="false" ht="30" hidden="false" customHeight="true" outlineLevel="0" collapsed="false">
      <c r="A15" s="17" t="s">
        <v>113</v>
      </c>
      <c r="B15" s="17" t="s">
        <v>114</v>
      </c>
      <c r="C15" s="17" t="s">
        <v>115</v>
      </c>
      <c r="D15" s="17"/>
      <c r="E15" s="17"/>
      <c r="F15" s="17"/>
      <c r="G15" s="17"/>
    </row>
    <row r="16" customFormat="false" ht="15" hidden="false" customHeight="false" outlineLevel="0" collapsed="false">
      <c r="A16" s="9" t="s">
        <v>116</v>
      </c>
      <c r="B16" s="30" t="n">
        <v>6500000</v>
      </c>
      <c r="C16" s="31" t="n">
        <f aca="false">B16/Supuestos!B7</f>
        <v>7103.82513661202</v>
      </c>
    </row>
    <row r="17" customFormat="false" ht="15" hidden="false" customHeight="false" outlineLevel="0" collapsed="false">
      <c r="A17" s="9" t="s">
        <v>117</v>
      </c>
      <c r="B17" s="30" t="n">
        <v>13000000</v>
      </c>
      <c r="C17" s="31" t="n">
        <f aca="false">B17/Supuestos!B7</f>
        <v>14207.650273224</v>
      </c>
    </row>
    <row r="19" customFormat="false" ht="15" hidden="false" customHeight="false" outlineLevel="0" collapsed="false">
      <c r="A19" s="8" t="s">
        <v>118</v>
      </c>
      <c r="B19" s="8"/>
      <c r="C19" s="8"/>
      <c r="D19" s="8"/>
      <c r="E19" s="8"/>
      <c r="F19" s="8"/>
      <c r="G19" s="8"/>
    </row>
    <row r="20" customFormat="false" ht="30" hidden="false" customHeight="true" outlineLevel="0" collapsed="false">
      <c r="A20" s="17" t="s">
        <v>119</v>
      </c>
      <c r="B20" s="17" t="s">
        <v>120</v>
      </c>
      <c r="C20" s="17" t="s">
        <v>75</v>
      </c>
      <c r="D20" s="17" t="s">
        <v>97</v>
      </c>
      <c r="E20" s="17" t="s">
        <v>121</v>
      </c>
      <c r="F20" s="17" t="s">
        <v>122</v>
      </c>
      <c r="G20" s="17" t="s">
        <v>123</v>
      </c>
    </row>
    <row r="21" customFormat="false" ht="15" hidden="false" customHeight="false" outlineLevel="0" collapsed="false">
      <c r="A21" s="13" t="n">
        <v>1</v>
      </c>
      <c r="B21" s="32" t="n">
        <f aca="false">A21*B8+B11+MAX(0,A21-20)*B12</f>
        <v>16450000</v>
      </c>
      <c r="C21" s="31" t="n">
        <f aca="false">B21*12/Supuestos!B7</f>
        <v>215737.704918033</v>
      </c>
      <c r="D21" s="31" t="n">
        <f aca="false">C21/A21</f>
        <v>215737.704918033</v>
      </c>
      <c r="E21" s="33" t="n">
        <f aca="false">Supuestos!B28+A21*Supuestos!B29</f>
        <v>11840000</v>
      </c>
      <c r="F21" s="18" t="n">
        <f aca="false">B21-E21</f>
        <v>4610000</v>
      </c>
      <c r="G21" s="34" t="n">
        <f aca="false">IF(B21=0,0,F21/B21)</f>
        <v>0.280243161094225</v>
      </c>
    </row>
    <row r="22" customFormat="false" ht="15" hidden="false" customHeight="false" outlineLevel="0" collapsed="false">
      <c r="A22" s="13" t="n">
        <v>6</v>
      </c>
      <c r="B22" s="32" t="n">
        <f aca="false">A22*B7+B11+MAX(0,A22-20)*B12</f>
        <v>23200000</v>
      </c>
      <c r="C22" s="31" t="n">
        <f aca="false">B22*12/Supuestos!B7</f>
        <v>304262.295081967</v>
      </c>
      <c r="D22" s="31" t="n">
        <f aca="false">C22/A22</f>
        <v>50710.3825136612</v>
      </c>
      <c r="E22" s="33" t="n">
        <f aca="false">Supuestos!B28+A22*Supuestos!B29</f>
        <v>12840000</v>
      </c>
      <c r="F22" s="18" t="n">
        <f aca="false">B22-E22</f>
        <v>10360000</v>
      </c>
      <c r="G22" s="34" t="n">
        <f aca="false">IF(B22=0,0,F22/B22)</f>
        <v>0.446551724137931</v>
      </c>
    </row>
    <row r="23" customFormat="false" ht="15" hidden="false" customHeight="false" outlineLevel="0" collapsed="false">
      <c r="A23" s="13" t="n">
        <v>12</v>
      </c>
      <c r="B23" s="32" t="n">
        <f aca="false">A23*B7+B11+MAX(0,A23-20)*B12</f>
        <v>31900000</v>
      </c>
      <c r="C23" s="31" t="n">
        <f aca="false">B23*12/Supuestos!B7</f>
        <v>418360.655737705</v>
      </c>
      <c r="D23" s="31" t="n">
        <f aca="false">C23/A23</f>
        <v>34863.3879781421</v>
      </c>
      <c r="E23" s="33" t="n">
        <f aca="false">Supuestos!B28+A23*Supuestos!B29</f>
        <v>14040000</v>
      </c>
      <c r="F23" s="18" t="n">
        <f aca="false">B23-E23</f>
        <v>17860000</v>
      </c>
      <c r="G23" s="34" t="n">
        <f aca="false">IF(B23=0,0,F23/B23)</f>
        <v>0.55987460815047</v>
      </c>
    </row>
    <row r="24" customFormat="false" ht="15" hidden="false" customHeight="false" outlineLevel="0" collapsed="false">
      <c r="A24" s="13" t="n">
        <v>20</v>
      </c>
      <c r="B24" s="32" t="n">
        <f aca="false">A24*B7+B11+MAX(0,A24-20)*B12</f>
        <v>43500000</v>
      </c>
      <c r="C24" s="31" t="n">
        <f aca="false">B24*12/Supuestos!B7</f>
        <v>570491.803278689</v>
      </c>
      <c r="D24" s="31" t="n">
        <f aca="false">C24/A24</f>
        <v>28524.5901639344</v>
      </c>
      <c r="E24" s="33" t="n">
        <f aca="false">Supuestos!B28+A24*Supuestos!B29</f>
        <v>15640000</v>
      </c>
      <c r="F24" s="18" t="n">
        <f aca="false">B24-E24</f>
        <v>27860000</v>
      </c>
      <c r="G24" s="34" t="n">
        <f aca="false">IF(B24=0,0,F24/B24)</f>
        <v>0.640459770114943</v>
      </c>
    </row>
    <row r="25" customFormat="false" ht="15" hidden="false" customHeight="false" outlineLevel="0" collapsed="false">
      <c r="A25" s="13" t="n">
        <v>30</v>
      </c>
      <c r="B25" s="32" t="n">
        <f aca="false">A25*B6+B11+MAX(0,A25-20)*B12</f>
        <v>46500000</v>
      </c>
      <c r="C25" s="31" t="n">
        <f aca="false">B25*12/Supuestos!B7</f>
        <v>609836.06557377</v>
      </c>
      <c r="D25" s="31" t="n">
        <f aca="false">C25/A25</f>
        <v>20327.868852459</v>
      </c>
      <c r="E25" s="33" t="n">
        <f aca="false">Supuestos!B28+A25*Supuestos!B29</f>
        <v>17640000</v>
      </c>
      <c r="F25" s="18" t="n">
        <f aca="false">B25-E25</f>
        <v>28860000</v>
      </c>
      <c r="G25" s="34" t="n">
        <f aca="false">IF(B25=0,0,F25/B25)</f>
        <v>0.620645161290323</v>
      </c>
    </row>
    <row r="26" customFormat="false" ht="15" hidden="false" customHeight="false" outlineLevel="0" collapsed="false">
      <c r="A26" s="13" t="n">
        <v>40</v>
      </c>
      <c r="B26" s="32" t="n">
        <f aca="false">A26*B6+B11+MAX(0,A26-20)*B12</f>
        <v>59500000</v>
      </c>
      <c r="C26" s="31" t="n">
        <f aca="false">B26*12/Supuestos!B7</f>
        <v>780327.868852459</v>
      </c>
      <c r="D26" s="31" t="n">
        <f aca="false">C26/A26</f>
        <v>19508.1967213115</v>
      </c>
      <c r="E26" s="33" t="n">
        <f aca="false">Supuestos!B28+A26*Supuestos!B29</f>
        <v>19640000</v>
      </c>
      <c r="F26" s="18" t="n">
        <f aca="false">B26-E26</f>
        <v>39860000</v>
      </c>
      <c r="G26" s="34" t="n">
        <f aca="false">IF(B26=0,0,F26/B26)</f>
        <v>0.669915966386555</v>
      </c>
    </row>
  </sheetData>
  <mergeCells count="6">
    <mergeCell ref="A1:G1"/>
    <mergeCell ref="A2:G2"/>
    <mergeCell ref="A4:G4"/>
    <mergeCell ref="A10:G10"/>
    <mergeCell ref="A14:G14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9"/>
  </cols>
  <sheetData>
    <row r="1" customFormat="false" ht="30" hidden="false" customHeight="true" outlineLevel="0" collapsed="false">
      <c r="A1" s="1" t="s">
        <v>124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125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7" t="s">
        <v>126</v>
      </c>
      <c r="B4" s="17" t="s">
        <v>127</v>
      </c>
      <c r="C4" s="17" t="s">
        <v>128</v>
      </c>
      <c r="D4" s="17" t="s">
        <v>129</v>
      </c>
      <c r="E4" s="17"/>
      <c r="F4" s="17"/>
    </row>
    <row r="5" customFormat="false" ht="30" hidden="false" customHeight="true" outlineLevel="0" collapsed="false">
      <c r="A5" s="35" t="s">
        <v>130</v>
      </c>
      <c r="B5" s="36" t="s">
        <v>131</v>
      </c>
      <c r="C5" s="37" t="s">
        <v>132</v>
      </c>
      <c r="D5" s="38" t="s">
        <v>133</v>
      </c>
    </row>
    <row r="6" customFormat="false" ht="30" hidden="false" customHeight="true" outlineLevel="0" collapsed="false">
      <c r="A6" s="35" t="s">
        <v>134</v>
      </c>
      <c r="B6" s="36" t="s">
        <v>131</v>
      </c>
      <c r="C6" s="37" t="s">
        <v>132</v>
      </c>
      <c r="D6" s="38" t="s">
        <v>135</v>
      </c>
    </row>
    <row r="7" customFormat="false" ht="30" hidden="false" customHeight="true" outlineLevel="0" collapsed="false">
      <c r="A7" s="35" t="s">
        <v>136</v>
      </c>
      <c r="B7" s="36" t="s">
        <v>137</v>
      </c>
      <c r="C7" s="39" t="s">
        <v>138</v>
      </c>
      <c r="D7" s="38" t="s">
        <v>139</v>
      </c>
    </row>
    <row r="8" customFormat="false" ht="30" hidden="false" customHeight="true" outlineLevel="0" collapsed="false">
      <c r="A8" s="35" t="s">
        <v>140</v>
      </c>
      <c r="B8" s="36" t="s">
        <v>141</v>
      </c>
      <c r="C8" s="39" t="s">
        <v>138</v>
      </c>
      <c r="D8" s="38" t="s">
        <v>142</v>
      </c>
    </row>
    <row r="9" customFormat="false" ht="30" hidden="false" customHeight="true" outlineLevel="0" collapsed="false">
      <c r="A9" s="35" t="s">
        <v>143</v>
      </c>
      <c r="B9" s="36" t="s">
        <v>144</v>
      </c>
      <c r="C9" s="39" t="s">
        <v>138</v>
      </c>
      <c r="D9" s="38" t="s">
        <v>145</v>
      </c>
    </row>
    <row r="10" customFormat="false" ht="30" hidden="false" customHeight="true" outlineLevel="0" collapsed="false">
      <c r="A10" s="35" t="s">
        <v>146</v>
      </c>
      <c r="B10" s="36" t="s">
        <v>131</v>
      </c>
      <c r="C10" s="37" t="s">
        <v>132</v>
      </c>
      <c r="D10" s="38" t="s">
        <v>147</v>
      </c>
    </row>
    <row r="12" customFormat="false" ht="30" hidden="false" customHeight="true" outlineLevel="0" collapsed="false">
      <c r="A12" s="17" t="s">
        <v>148</v>
      </c>
      <c r="B12" s="17" t="s">
        <v>149</v>
      </c>
      <c r="C12" s="17" t="s">
        <v>150</v>
      </c>
      <c r="D12" s="17" t="s">
        <v>151</v>
      </c>
      <c r="E12" s="17"/>
      <c r="F12" s="17"/>
    </row>
    <row r="13" customFormat="false" ht="15" hidden="false" customHeight="false" outlineLevel="0" collapsed="false">
      <c r="A13" s="9" t="s">
        <v>152</v>
      </c>
      <c r="B13" s="14" t="n">
        <f aca="false">Supuestos!B28</f>
        <v>11640000</v>
      </c>
      <c r="C13" s="16" t="n">
        <f aca="false">Supuestos!B41</f>
        <v>33120000</v>
      </c>
      <c r="D13" s="32" t="n">
        <f aca="false">C13-B13</f>
        <v>21480000</v>
      </c>
    </row>
    <row r="14" customFormat="false" ht="15" hidden="false" customHeight="false" outlineLevel="0" collapsed="false">
      <c r="A14" s="9" t="s">
        <v>153</v>
      </c>
      <c r="B14" s="14" t="n">
        <f aca="false">B13*12</f>
        <v>139680000</v>
      </c>
      <c r="C14" s="16" t="n">
        <f aca="false">C13*12</f>
        <v>397440000</v>
      </c>
      <c r="D14" s="32" t="n">
        <f aca="false">C14-B14</f>
        <v>257760000</v>
      </c>
    </row>
    <row r="15" customFormat="false" ht="15" hidden="false" customHeight="false" outlineLevel="0" collapsed="false">
      <c r="A15" s="9" t="s">
        <v>154</v>
      </c>
      <c r="B15" s="40" t="n">
        <f aca="false">B13*12/Supuestos!B7</f>
        <v>152655.737704918</v>
      </c>
      <c r="C15" s="41" t="n">
        <f aca="false">C13*12/Supuestos!B7</f>
        <v>434360.655737705</v>
      </c>
      <c r="D15" s="31" t="n">
        <f aca="false">C15-B15</f>
        <v>281704.918032787</v>
      </c>
    </row>
    <row r="16" customFormat="false" ht="15" hidden="false" customHeight="false" outlineLevel="0" collapsed="false">
      <c r="A16" s="9" t="s">
        <v>155</v>
      </c>
      <c r="B16" s="42" t="n">
        <f aca="false">5.5</f>
        <v>5.5</v>
      </c>
      <c r="C16" s="43" t="n">
        <f aca="false">ROUND(Supuestos!B32*Supuestos!B34,0)+Supuestos!B36</f>
        <v>12</v>
      </c>
      <c r="D16" s="44" t="n">
        <f aca="false">C16-B16</f>
        <v>6.5</v>
      </c>
    </row>
    <row r="17" customFormat="false" ht="15" hidden="false" customHeight="false" outlineLevel="0" collapsed="false">
      <c r="A17" s="9" t="s">
        <v>156</v>
      </c>
      <c r="B17" s="45" t="n">
        <f aca="false">ROUNDUP(Supuestos!B28/(1000000-Supuestos!B29),0)</f>
        <v>15</v>
      </c>
      <c r="C17" s="46" t="n">
        <f aca="false">ROUNDUP(Supuestos!B41/(1000000-Supuestos!B42),0)</f>
        <v>48</v>
      </c>
      <c r="D17" s="47" t="n">
        <f aca="false">C17-B17</f>
        <v>33</v>
      </c>
    </row>
    <row r="18" customFormat="false" ht="15" hidden="false" customHeight="false" outlineLevel="0" collapsed="false">
      <c r="A18" s="9" t="s">
        <v>157</v>
      </c>
      <c r="B18" s="45" t="n">
        <f aca="false">ROUNDUP(Supuestos!B28/(500000-Supuestos!B29),0)</f>
        <v>39</v>
      </c>
      <c r="C18" s="46" t="n">
        <f aca="false">ROUNDUP(Supuestos!B41/(500000-Supuestos!B42),0)</f>
        <v>166</v>
      </c>
      <c r="D18" s="47" t="n">
        <f aca="false">C18-B18</f>
        <v>127</v>
      </c>
    </row>
    <row r="20" customFormat="false" ht="15" hidden="false" customHeight="false" outlineLevel="0" collapsed="false">
      <c r="A20" s="29" t="s">
        <v>158</v>
      </c>
      <c r="B20" s="29"/>
      <c r="C20" s="29"/>
      <c r="D20" s="29"/>
    </row>
    <row r="22" customFormat="false" ht="15" hidden="false" customHeight="false" outlineLevel="0" collapsed="false">
      <c r="A22" s="8" t="s">
        <v>159</v>
      </c>
      <c r="B22" s="8"/>
      <c r="C22" s="8"/>
      <c r="D22" s="8"/>
    </row>
    <row r="23" customFormat="false" ht="30" hidden="false" customHeight="true" outlineLevel="0" collapsed="false">
      <c r="A23" s="17" t="s">
        <v>160</v>
      </c>
      <c r="B23" s="17" t="s">
        <v>161</v>
      </c>
      <c r="C23" s="17" t="s">
        <v>121</v>
      </c>
      <c r="D23" s="17" t="s">
        <v>122</v>
      </c>
      <c r="E23" s="17" t="s">
        <v>162</v>
      </c>
      <c r="F23" s="17"/>
    </row>
    <row r="24" customFormat="false" ht="15" hidden="false" customHeight="false" outlineLevel="0" collapsed="false">
      <c r="A24" s="9" t="s">
        <v>163</v>
      </c>
      <c r="B24" s="18" t="n">
        <f aca="false">12*500000</f>
        <v>6000000</v>
      </c>
      <c r="C24" s="33" t="n">
        <f aca="false">Supuestos!B28+12*Supuestos!B29</f>
        <v>14040000</v>
      </c>
      <c r="D24" s="18" t="n">
        <f aca="false">B24-C24</f>
        <v>-8040000</v>
      </c>
      <c r="E24" s="48" t="n">
        <f aca="false">D24/B24</f>
        <v>-1.34</v>
      </c>
    </row>
    <row r="25" customFormat="false" ht="15" hidden="false" customHeight="false" outlineLevel="0" collapsed="false">
      <c r="A25" s="9" t="s">
        <v>164</v>
      </c>
      <c r="B25" s="18" t="n">
        <f aca="false">12*1000000</f>
        <v>12000000</v>
      </c>
      <c r="C25" s="33" t="n">
        <f aca="false">Supuestos!B28+12*Supuestos!B29</f>
        <v>14040000</v>
      </c>
      <c r="D25" s="18" t="n">
        <f aca="false">B25-C25</f>
        <v>-2040000</v>
      </c>
      <c r="E25" s="48" t="n">
        <f aca="false">D25/B25</f>
        <v>-0.17</v>
      </c>
    </row>
    <row r="26" customFormat="false" ht="15" hidden="false" customHeight="false" outlineLevel="0" collapsed="false">
      <c r="A26" s="9" t="s">
        <v>165</v>
      </c>
      <c r="B26" s="18" t="n">
        <f aca="false">12*'Tarifa recomendada'!B7+'Tarifa recomendada'!B11</f>
        <v>31900000</v>
      </c>
      <c r="C26" s="33" t="n">
        <f aca="false">Supuestos!B28+12*Supuestos!B29</f>
        <v>14040000</v>
      </c>
      <c r="D26" s="18" t="n">
        <f aca="false">B26-C26</f>
        <v>17860000</v>
      </c>
      <c r="E26" s="48" t="n">
        <f aca="false">D26/B26</f>
        <v>0.55987460815047</v>
      </c>
    </row>
  </sheetData>
  <mergeCells count="4">
    <mergeCell ref="A1:F1"/>
    <mergeCell ref="A2:F2"/>
    <mergeCell ref="A20:D20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2026-08-29T00:50:17Z</dcterms:created>
  <dc:creator>openpyxl</dc:creator>
  <dc:description/>
  <dc:language>en-US</dc:language>
  <cp:lastModifiedBy/>
  <dcterms:modified xsi:type="dcterms:W3CDTF">2026-08-29T00:50:17Z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